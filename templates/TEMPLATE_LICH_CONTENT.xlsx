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DSD" sheetId="1" state="visible" r:id="rId3"/>
    <sheet name="LICH_THANG" sheetId="2" state="visible" r:id="rId4"/>
    <sheet name="KE_HOACH_QUY" sheetId="3" state="visible" r:id="rId5"/>
    <sheet name="NGAN_HANG_CHU_DE" sheetId="4" state="visible" r:id="rId6"/>
    <sheet name="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<sst xmlns="http://schemas.openxmlformats.org/spreadsheetml/2006/main" count="237" uniqueCount="152">
  <si>
    <t xml:space="preserve">TEMPLATE LỊCH CONTENT — CXK-CONTENT (Chuyên khoa Cơ Xương Khớp Kangnam)</t>
  </si>
  <si>
    <t xml:space="preserve">Mục đích</t>
  </si>
  <si>
    <t xml:space="preserve">Lập &amp; theo dõi kế hoạch nội dung tuần/tháng/quý theo hành trình khách hàng 6 giai đoạn.</t>
  </si>
  <si>
    <t xml:space="preserve">CÁC SHEET</t>
  </si>
  <si>
    <t xml:space="preserve">LICH_THANG</t>
  </si>
  <si>
    <t xml:space="preserve">Lịch chi tiết từng bài/video trong tháng. Dùng dropdown ở cột Tuyến phễu / Định dạng / Kênh / Trạng thái.</t>
  </si>
  <si>
    <t xml:space="preserve">KE_HOACH_QUY</t>
  </si>
  <si>
    <t xml:space="preserve">Kế hoạch trục/chiến dịch theo quý (3 tháng) — định hướng trước khi lên lịch tháng.</t>
  </si>
  <si>
    <t xml:space="preserve">NGAN_HANG_CHU_DE</t>
  </si>
  <si>
    <t xml:space="preserve">30 chủ đề đã map sẵn theo phễu — nguồn ý tưởng cho LICH_THANG.</t>
  </si>
  <si>
    <t xml:space="preserve">TRACKER</t>
  </si>
  <si>
    <t xml:space="preserve">Theo dõi hiệu quả bài đã đăng. Cột % đạt &amp; Đánh giá TỰ ĐỘNG tính bằng công thức.</t>
  </si>
  <si>
    <t xml:space="preserve">QUY TẮC ĐIỀN</t>
  </si>
  <si>
    <t xml:space="preserve">Dòng nền vàng nhạt</t>
  </si>
  <si>
    <t xml:space="preserve">Là DÒNG VÍ DỤ — xóa trước khi dùng thật.</t>
  </si>
  <si>
    <t xml:space="preserve">Cách điền</t>
  </si>
  <si>
    <t xml:space="preserve">Điền vào các dòng nền trắng bên dưới dòng ví dụ.</t>
  </si>
  <si>
    <t xml:space="preserve">Tracker — Đánh giá</t>
  </si>
  <si>
    <t xml:space="preserve">SCALE ≥ 85% (nhân bản) · TINH CHỈNH 60–85% · KILL &lt; 60%. Chỉ KILL khi đã đủ lượng test (vd ≥ 50 inbox/adset).</t>
  </si>
  <si>
    <t xml:space="preserve">HITL</t>
  </si>
  <si>
    <t xml:space="preserve">Mọi bài có số liệu y khoa / phát ngôn bác sĩ / caption ads → ghi 'Chờ duyệt' ở cột Trạng thái trước khi đăng.</t>
  </si>
  <si>
    <t xml:space="preserve">Liên quan file</t>
  </si>
  <si>
    <t xml:space="preserve">Nội dung &amp; luật viết: 00_INSTRUCTION, 00_COMPLIANCE, K1–K4. Giá/bác sĩ/KM: KF (🔶 chờ điền).</t>
  </si>
  <si>
    <t xml:space="preserve">LỊCH CONTENT THÁNG: [🔶 điền tháng/năm]</t>
  </si>
  <si>
    <t xml:space="preserve">Ngày</t>
  </si>
  <si>
    <t xml:space="preserve">Thứ</t>
  </si>
  <si>
    <t xml:space="preserve">Tuyến phễu</t>
  </si>
  <si>
    <t xml:space="preserve">Định dạng</t>
  </si>
  <si>
    <t xml:space="preserve">Chủ đề</t>
  </si>
  <si>
    <t xml:space="preserve">Hook</t>
  </si>
  <si>
    <t xml:space="preserve">Thông điệp lõi</t>
  </si>
  <si>
    <t xml:space="preserve">CTA</t>
  </si>
  <si>
    <t xml:space="preserve">Kênh</t>
  </si>
  <si>
    <t xml:space="preserve">Người làm</t>
  </si>
  <si>
    <t xml:space="preserve">Trạng thái</t>
  </si>
  <si>
    <t xml:space="preserve">Ghi chú/HITL</t>
  </si>
  <si>
    <t xml:space="preserve">05/10</t>
  </si>
  <si>
    <t xml:space="preserve">CN</t>
  </si>
  <si>
    <t xml:space="preserve">3. CÂN NHẮC &amp; NỖI SỢ</t>
  </si>
  <si>
    <t xml:space="preserve">Bài viết</t>
  </si>
  <si>
    <t xml:space="preserve">Được khuyên thay khớp — có nên vội?</t>
  </si>
  <si>
    <t xml:space="preserve">62 tuổi, bác sĩ khuyên thay khớp — nhưng bác đã giữ được khớp thật.</t>
  </si>
  <si>
    <t xml:space="preserve">Khớp nhân tạo chỉ bền 10–15 năm; độ 2–3 vẫn còn cơ hội bảo tồn</t>
  </si>
  <si>
    <t xml:space="preserve">Đăng ký tầm soát</t>
  </si>
  <si>
    <t xml:space="preserve">Fanpage</t>
  </si>
  <si>
    <t xml:space="preserve">Định</t>
  </si>
  <si>
    <t xml:space="preserve">Chờ duyệt (HITL)</t>
  </si>
  <si>
    <t xml:space="preserve">Có số liệu → bác sĩ duyệt</t>
  </si>
  <si>
    <t xml:space="preserve">KẾ HOẠCH QUÝ: [🔶 Quý .../20..]</t>
  </si>
  <si>
    <t xml:space="preserve">Tháng</t>
  </si>
  <si>
    <t xml:space="preserve">Chủ đề trục / Chiến dịch</t>
  </si>
  <si>
    <t xml:space="preserve">Mục tiêu phễu trọng tâm</t>
  </si>
  <si>
    <t xml:space="preserve">Định dạng chính</t>
  </si>
  <si>
    <t xml:space="preserve">Ghi chú</t>
  </si>
  <si>
    <t xml:space="preserve">Tháng 1</t>
  </si>
  <si>
    <t xml:space="preserve">Phủ nhận thức + giáo dục phân độ thoái hóa</t>
  </si>
  <si>
    <t xml:space="preserve">NHẬN BIẾT + TÌM HIỂU</t>
  </si>
  <si>
    <t xml:space="preserve">Reel, Infographic</t>
  </si>
  <si>
    <t xml:space="preserve">Xây nền, nuôi phễu lạnh</t>
  </si>
  <si>
    <t xml:space="preserve">Tháng 2</t>
  </si>
  <si>
    <t xml:space="preserve">Đánh nỗi sợ: mổ · thuốc · chi phí</t>
  </si>
  <si>
    <t xml:space="preserve">CÂN NHẮC &amp; NỖI SỢ</t>
  </si>
  <si>
    <t xml:space="preserve">So sánh, myth-busting, Q&amp;A bác sĩ</t>
  </si>
  <si>
    <t xml:space="preserve">Đẩy mạnh chuyển đổi về tầm soát</t>
  </si>
  <si>
    <t xml:space="preserve">Tháng 3</t>
  </si>
  <si>
    <t xml:space="preserve">Chiến dịch 'Tuần lễ Khớp Khỏe' + case thật</t>
  </si>
  <si>
    <t xml:space="preserve">THỰC HIỆN + LTV</t>
  </si>
  <si>
    <t xml:space="preserve">Ưu đãi có hạn, testimonial</t>
  </si>
  <si>
    <t xml:space="preserve">🔶 cần KM + ca thật</t>
  </si>
  <si>
    <t xml:space="preserve">NGÂN HÀNG 30 CHỦ ĐỀ (map theo phễu)</t>
  </si>
  <si>
    <t xml:space="preserve">STT</t>
  </si>
  <si>
    <t xml:space="preserve">Góc</t>
  </si>
  <si>
    <t xml:space="preserve">Chủ đề gợi ý</t>
  </si>
  <si>
    <t xml:space="preserve">Định dạng gợi ý</t>
  </si>
  <si>
    <t xml:space="preserve">Trạng thái dùng</t>
  </si>
  <si>
    <t xml:space="preserve">1. NHẬN BIẾT (Cold)</t>
  </si>
  <si>
    <t xml:space="preserve">Triệu chứng</t>
  </si>
  <si>
    <t xml:space="preserve">5 dấu hiệu khớp gối đang 'kêu cứu' nhiều người bỏ qua</t>
  </si>
  <si>
    <t xml:space="preserve">Reel</t>
  </si>
  <si>
    <t xml:space="preserve">Chưa dùng</t>
  </si>
  <si>
    <t xml:space="preserve">Lục cục khớp gối buổi sáng — bình thường hay báo động?</t>
  </si>
  <si>
    <t xml:space="preserve">Phá quan niệm sai</t>
  </si>
  <si>
    <t xml:space="preserve">Vì sao 'đau khớp là do tuổi' khiến khớp hỏng nhanh hơn</t>
  </si>
  <si>
    <t xml:space="preserve">Giáo dục</t>
  </si>
  <si>
    <t xml:space="preserve">Thoái hóa khớp có mấy độ? Độ nào còn cứu được khớp thật?</t>
  </si>
  <si>
    <t xml:space="preserve">Infographic</t>
  </si>
  <si>
    <t xml:space="preserve">Tuyến cho con cái</t>
  </si>
  <si>
    <t xml:space="preserve">Gửi con cái: 3 câu nên hỏi khi ba mẹ kêu đau gối</t>
  </si>
  <si>
    <t xml:space="preserve">2. TÌM HIỂU (Warm)</t>
  </si>
  <si>
    <t xml:space="preserve">Cơ chế</t>
  </si>
  <si>
    <t xml:space="preserve">PRP là gì? Vì sao dùng chính máu của bạn để chữa khớp</t>
  </si>
  <si>
    <t xml:space="preserve">Video</t>
  </si>
  <si>
    <t xml:space="preserve">USP Hiệu Quả Kép</t>
  </si>
  <si>
    <t xml:space="preserve">Tái tạo sụn bên trong + chỉnh trục bên ngoài là sao?</t>
  </si>
  <si>
    <t xml:space="preserve">So sánh phương pháp</t>
  </si>
  <si>
    <t xml:space="preserve">PRP khác gì tiêm acid hyaluronic / corticoid?</t>
  </si>
  <si>
    <t xml:space="preserve">Công nghệ</t>
  </si>
  <si>
    <t xml:space="preserve">Shockwave &amp; laser trong phục hồi chức năng khớp làm gì?</t>
  </si>
  <si>
    <t xml:space="preserve">Điểm tin</t>
  </si>
  <si>
    <t xml:space="preserve">Tiêm dưới siêu âm vs tiêm 'mù' — khác biệt ở đâu</t>
  </si>
  <si>
    <t xml:space="preserve">Nỗi sợ mổ</t>
  </si>
  <si>
    <t xml:space="preserve">Được khuyên thay khớp — có nên vội? Sự thật khớp nhân tạo 10–15 năm</t>
  </si>
  <si>
    <t xml:space="preserve">Tác hại thuốc</t>
  </si>
  <si>
    <t xml:space="preserve">Thuốc giảm đau chỉ 'tắt chuông báo cháy' — cái giá cho dạ dày, thận</t>
  </si>
  <si>
    <t xml:space="preserve">Bài toán kinh tế</t>
  </si>
  <si>
    <t xml:space="preserve">Thay khớp 80–150 triệu vs bảo tồn — so sánh thẳng</t>
  </si>
  <si>
    <t xml:space="preserve">Giáo dục cơ hội</t>
  </si>
  <si>
    <t xml:space="preserve">Thoái hóa độ 2–3: cơ hội giữ khớp thật còn tới đâu?</t>
  </si>
  <si>
    <t xml:space="preserve">Q&amp;A bác sĩ</t>
  </si>
  <si>
    <t xml:space="preserve">Hỏi bác sĩ: tiêm PRP có đau không, mất bao lâu, mấy buổi?</t>
  </si>
  <si>
    <t xml:space="preserve">Câu hỏi chuyển đổi</t>
  </si>
  <si>
    <t xml:space="preserve">PRP có thay thế phẫu thuật không? (trả lời thật, không tô hồng)</t>
  </si>
  <si>
    <t xml:space="preserve">4. THỰC HIỆN (Hot)</t>
  </si>
  <si>
    <t xml:space="preserve">Quy trình</t>
  </si>
  <si>
    <t xml:space="preserve">Một buổi điều trị diễn ra thế nào — từ lấy máu đến về trong ngày</t>
  </si>
  <si>
    <t xml:space="preserve">Sản phẩm mồi</t>
  </si>
  <si>
    <t xml:space="preserve">Gói tầm soát &amp; đánh giá khớp gồm gì — bắt đầu từ đâu cho đúng</t>
  </si>
  <si>
    <t xml:space="preserve">Minh bạch chi phí</t>
  </si>
  <si>
    <t xml:space="preserve">Bạn biết trước tổng tiền trước khi làm</t>
  </si>
  <si>
    <t xml:space="preserve">Vì sao chọn nơi theo dõi bằng số liệu VAS &amp; siêu âm</t>
  </si>
  <si>
    <t xml:space="preserve">Ưu đãi</t>
  </si>
  <si>
    <t xml:space="preserve">Tuần lễ Khớp Khỏe — ưu đãi tầm soát có hạn [🔶]</t>
  </si>
  <si>
    <t xml:space="preserve">Story</t>
  </si>
  <si>
    <t xml:space="preserve">5. TRẢI NGHIỆM &amp; HẬU PHẪU</t>
  </si>
  <si>
    <t xml:space="preserve">Aftercare</t>
  </si>
  <si>
    <t xml:space="preserve">Sau buổi tiêm PRP: chăm sóc tại nhà thế nào cho hiệu quả</t>
  </si>
  <si>
    <t xml:space="preserve">Hướng dẫn tập</t>
  </si>
  <si>
    <t xml:space="preserve">3 bài tập nhẹ tại nhà gia cố cơ đùi nâng đỡ khớp (bác sĩ hướng dẫn)</t>
  </si>
  <si>
    <t xml:space="preserve">Kỳ vọng</t>
  </si>
  <si>
    <t xml:space="preserve">Khi nào thấy đỡ? Các mốc cải thiện theo tuần</t>
  </si>
  <si>
    <t xml:space="preserve">Giữ kết quả</t>
  </si>
  <si>
    <t xml:space="preserve">Vì sao tái khám đúng lịch quyết định kết quả lâu dài</t>
  </si>
  <si>
    <t xml:space="preserve">6. GẮN BÓ &amp; MỞ RỘNG (LTV)</t>
  </si>
  <si>
    <t xml:space="preserve">Sản phẩm duy trì</t>
  </si>
  <si>
    <t xml:space="preserve">Thẻ hội viên bảo trì khớp — giữ khớp khỏe sau liệu trình [🔶]</t>
  </si>
  <si>
    <t xml:space="preserve">Nội dung mùa</t>
  </si>
  <si>
    <t xml:space="preserve">Trời trở lạnh khớp đau hơn — cách dự phòng cho người từng thoái hóa</t>
  </si>
  <si>
    <t xml:space="preserve">Bằng chứng</t>
  </si>
  <si>
    <t xml:space="preserve">Câu chuyện cô/bác tìm lại bước chân nhẹ nhõm (ngôi 3, đã kiểm duyệt)</t>
  </si>
  <si>
    <t xml:space="preserve">Referral</t>
  </si>
  <si>
    <t xml:space="preserve">Giới thiệu người thân cùng cảnh — ưu đãi tri ân [🔶]</t>
  </si>
  <si>
    <t xml:space="preserve">Cộng đồng</t>
  </si>
  <si>
    <t xml:space="preserve">Hỏi đáp: tổng hợp 10 thắc mắc thường gặp về bảo tồn khớp</t>
  </si>
  <si>
    <t xml:space="preserve">TRACKER HIỆU QUẢ CONTENT</t>
  </si>
  <si>
    <t xml:space="preserve">ID</t>
  </si>
  <si>
    <t xml:space="preserve">Link bài</t>
  </si>
  <si>
    <t xml:space="preserve">KPI mục tiêu</t>
  </si>
  <si>
    <t xml:space="preserve">Thực tế</t>
  </si>
  <si>
    <t xml:space="preserve">% đạt</t>
  </si>
  <si>
    <t xml:space="preserve">Đánh giá</t>
  </si>
  <si>
    <t xml:space="preserve">CXK-10-001</t>
  </si>
  <si>
    <t xml:space="preserve">https://fb.com/...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</si>
</sst>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49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555555"/>
      </patternFill>
    </fill>
    <fill>
      <patternFill patternType="solid">
        <fgColor rgb="FFFFF6E6"/>
        <bgColor rgb="FFFFFFFF"/>
      </patternFill>
    </fill>
    <fill>
      <patternFill patternType="solid">
        <fgColor rgb="FFE2F4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6"/>
      <rgbColor rgb="FFE2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3</v>
      </c>
      <c r="B5" s="2"/>
    </row>
    <row r="6" customFormat="false" ht="15" hidden="false" customHeight="false" outlineLevel="0" collapsed="false">
      <c r="A6" s="3" t="s">
        <v>4</v>
      </c>
      <c r="B6" s="2" t="s">
        <v>5</v>
      </c>
    </row>
    <row r="7" customFormat="false" ht="15" hidden="false" customHeight="false" outlineLevel="0" collapsed="false">
      <c r="A7" s="3" t="s">
        <v>6</v>
      </c>
      <c r="B7" s="2" t="s">
        <v>7</v>
      </c>
    </row>
    <row r="8" customFormat="false" ht="15" hidden="false" customHeight="false" outlineLevel="0" collapsed="false">
      <c r="A8" s="3" t="s">
        <v>8</v>
      </c>
      <c r="B8" s="2" t="s">
        <v>9</v>
      </c>
    </row>
    <row r="9" customFormat="false" ht="15" hidden="false" customHeight="false" outlineLevel="0" collapsed="false">
      <c r="A9" s="3" t="s">
        <v>10</v>
      </c>
      <c r="B9" s="2" t="s">
        <v>11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12</v>
      </c>
      <c r="B11" s="2"/>
    </row>
    <row r="12" customFormat="false" ht="15" hidden="false" customHeight="false" outlineLevel="0" collapsed="false">
      <c r="A12" s="2" t="s">
        <v>13</v>
      </c>
      <c r="B12" s="2" t="s">
        <v>14</v>
      </c>
    </row>
    <row r="13" customFormat="false" ht="15" hidden="false" customHeight="false" outlineLevel="0" collapsed="false">
      <c r="A13" s="2" t="s">
        <v>15</v>
      </c>
      <c r="B13" s="2" t="s">
        <v>16</v>
      </c>
    </row>
    <row r="14" customFormat="false" ht="23.85" hidden="false" customHeight="false" outlineLevel="0" collapsed="false">
      <c r="A14" s="2" t="s">
        <v>17</v>
      </c>
      <c r="B14" s="2" t="s">
        <v>18</v>
      </c>
    </row>
    <row r="15" customFormat="false" ht="15" hidden="false" customHeight="false" outlineLevel="0" collapsed="false">
      <c r="A15" s="3" t="s">
        <v>19</v>
      </c>
      <c r="B15" s="2" t="s">
        <v>20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21</v>
      </c>
      <c r="B17" s="2" t="s">
        <v>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</row>
    <row r="3" customFormat="false" ht="23.85" hidden="false" customHeight="false" outlineLevel="0" collapsed="false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</sheetData>
  <mergeCells count="1">
    <mergeCell ref="A1:L1"/>
  </mergeCells>
  <dataValidations count="4">
    <dataValidation allowBlank="true" errorStyle="stop" operator="between" showDropDown="false" showErrorMessage="false" showInputMessage="false" sqref="C3:C300" type="list">
      <formula1>"1. NHẬN BIẾT (Cold),2. TÌM HIỂU (Warm),3. CÂN NHẮC &amp; NỖI SỢ,4. THỰC HIỆN (Hot),5. TRẢI NGHIỆM &amp; HẬU PHẪU,6. GẮN BÓ &amp; MỞ RỘNG (LTV)"</formula1>
      <formula2>0</formula2>
    </dataValidation>
    <dataValidation allowBlank="true" errorStyle="stop" operator="between" showDropDown="false" showErrorMessage="false" showInputMessage="false" sqref="D3:D300" type="list">
      <formula1>"Bài viết,Reel,Video,Story,Livestream,Infographic"</formula1>
      <formula2>0</formula2>
    </dataValidation>
    <dataValidation allowBlank="true" errorStyle="stop" operator="between" showDropDown="false" showErrorMessage="false" showInputMessage="false" sqref="I3:I300" type="list">
      <formula1>"Fanpage,TikTok,YouTube,Website,Zalo OA"</formula1>
      <formula2>0</formula2>
    </dataValidation>
    <dataValidation allowBlank="true" errorStyle="stop" operator="between" showDropDown="false" showErrorMessage="false" showInputMessage="false" sqref="K3:K300" type="list">
      <formula1>"Idea,Đang viết,Chờ duyệt (HITL),Đã duyệt,Đã đăng"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</row>
    <row r="2" customFormat="false" ht="15" hidden="false" customHeight="false" outlineLevel="0" collapsed="false">
      <c r="A2" s="4" t="s">
        <v>49</v>
      </c>
      <c r="B2" s="4" t="s">
        <v>50</v>
      </c>
      <c r="C2" s="4" t="s">
        <v>51</v>
      </c>
      <c r="D2" s="4" t="s">
        <v>52</v>
      </c>
      <c r="E2" s="4" t="s">
        <v>53</v>
      </c>
    </row>
    <row r="3" customFormat="false" ht="23.85" hidden="false" customHeight="false" outlineLevel="0" collapsed="false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</row>
    <row r="4" customFormat="false" ht="23.85" hidden="false" customHeight="false" outlineLevel="0" collapsed="false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</row>
    <row r="5" customFormat="false" ht="23.85" hidden="false" customHeight="false" outlineLevel="0" collapsed="false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46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" t="s">
        <v>70</v>
      </c>
      <c r="B2" s="4" t="s">
        <v>26</v>
      </c>
      <c r="C2" s="4" t="s">
        <v>71</v>
      </c>
      <c r="D2" s="4" t="s">
        <v>72</v>
      </c>
      <c r="E2" s="4" t="s">
        <v>73</v>
      </c>
      <c r="F2" s="4" t="s">
        <v>74</v>
      </c>
    </row>
    <row r="3" customFormat="false" ht="15" hidden="false" customHeight="false" outlineLevel="0" collapsed="false">
      <c r="A3" s="7" t="n">
        <v>1</v>
      </c>
      <c r="B3" s="8" t="s">
        <v>75</v>
      </c>
      <c r="C3" s="8" t="s">
        <v>76</v>
      </c>
      <c r="D3" s="8" t="s">
        <v>77</v>
      </c>
      <c r="E3" s="8" t="s">
        <v>78</v>
      </c>
      <c r="F3" s="8" t="s">
        <v>79</v>
      </c>
    </row>
    <row r="4" customFormat="false" ht="23.85" hidden="false" customHeight="false" outlineLevel="0" collapsed="false">
      <c r="A4" s="9" t="n">
        <v>2</v>
      </c>
      <c r="B4" s="6" t="s">
        <v>75</v>
      </c>
      <c r="C4" s="6" t="s">
        <v>76</v>
      </c>
      <c r="D4" s="6" t="s">
        <v>80</v>
      </c>
      <c r="E4" s="6" t="s">
        <v>78</v>
      </c>
      <c r="F4" s="6" t="s">
        <v>79</v>
      </c>
    </row>
    <row r="5" customFormat="false" ht="15" hidden="false" customHeight="false" outlineLevel="0" collapsed="false">
      <c r="A5" s="7" t="n">
        <v>3</v>
      </c>
      <c r="B5" s="8" t="s">
        <v>75</v>
      </c>
      <c r="C5" s="8" t="s">
        <v>81</v>
      </c>
      <c r="D5" s="8" t="s">
        <v>82</v>
      </c>
      <c r="E5" s="8" t="s">
        <v>39</v>
      </c>
      <c r="F5" s="8" t="s">
        <v>79</v>
      </c>
    </row>
    <row r="6" customFormat="false" ht="23.85" hidden="false" customHeight="false" outlineLevel="0" collapsed="false">
      <c r="A6" s="9" t="n">
        <v>4</v>
      </c>
      <c r="B6" s="6" t="s">
        <v>75</v>
      </c>
      <c r="C6" s="6" t="s">
        <v>83</v>
      </c>
      <c r="D6" s="6" t="s">
        <v>84</v>
      </c>
      <c r="E6" s="6" t="s">
        <v>85</v>
      </c>
      <c r="F6" s="6" t="s">
        <v>79</v>
      </c>
    </row>
    <row r="7" customFormat="false" ht="15" hidden="false" customHeight="false" outlineLevel="0" collapsed="false">
      <c r="A7" s="7" t="n">
        <v>5</v>
      </c>
      <c r="B7" s="8" t="s">
        <v>75</v>
      </c>
      <c r="C7" s="8" t="s">
        <v>86</v>
      </c>
      <c r="D7" s="8" t="s">
        <v>87</v>
      </c>
      <c r="E7" s="8" t="s">
        <v>78</v>
      </c>
      <c r="F7" s="8" t="s">
        <v>79</v>
      </c>
    </row>
    <row r="8" customFormat="false" ht="23.85" hidden="false" customHeight="false" outlineLevel="0" collapsed="false">
      <c r="A8" s="9" t="n">
        <v>6</v>
      </c>
      <c r="B8" s="6" t="s">
        <v>88</v>
      </c>
      <c r="C8" s="6" t="s">
        <v>89</v>
      </c>
      <c r="D8" s="6" t="s">
        <v>90</v>
      </c>
      <c r="E8" s="6" t="s">
        <v>91</v>
      </c>
      <c r="F8" s="6" t="s">
        <v>79</v>
      </c>
    </row>
    <row r="9" customFormat="false" ht="15" hidden="false" customHeight="false" outlineLevel="0" collapsed="false">
      <c r="A9" s="7" t="n">
        <v>7</v>
      </c>
      <c r="B9" s="8" t="s">
        <v>88</v>
      </c>
      <c r="C9" s="8" t="s">
        <v>92</v>
      </c>
      <c r="D9" s="8" t="s">
        <v>93</v>
      </c>
      <c r="E9" s="8" t="s">
        <v>85</v>
      </c>
      <c r="F9" s="8" t="s">
        <v>79</v>
      </c>
    </row>
    <row r="10" customFormat="false" ht="15" hidden="false" customHeight="false" outlineLevel="0" collapsed="false">
      <c r="A10" s="9" t="n">
        <v>8</v>
      </c>
      <c r="B10" s="6" t="s">
        <v>88</v>
      </c>
      <c r="C10" s="6" t="s">
        <v>94</v>
      </c>
      <c r="D10" s="6" t="s">
        <v>95</v>
      </c>
      <c r="E10" s="6" t="s">
        <v>39</v>
      </c>
      <c r="F10" s="6" t="s">
        <v>79</v>
      </c>
    </row>
    <row r="11" customFormat="false" ht="23.85" hidden="false" customHeight="false" outlineLevel="0" collapsed="false">
      <c r="A11" s="7" t="n">
        <v>9</v>
      </c>
      <c r="B11" s="8" t="s">
        <v>88</v>
      </c>
      <c r="C11" s="8" t="s">
        <v>96</v>
      </c>
      <c r="D11" s="8" t="s">
        <v>97</v>
      </c>
      <c r="E11" s="8" t="s">
        <v>91</v>
      </c>
      <c r="F11" s="8" t="s">
        <v>79</v>
      </c>
    </row>
    <row r="12" customFormat="false" ht="15" hidden="false" customHeight="false" outlineLevel="0" collapsed="false">
      <c r="A12" s="9" t="n">
        <v>10</v>
      </c>
      <c r="B12" s="6" t="s">
        <v>88</v>
      </c>
      <c r="C12" s="6" t="s">
        <v>98</v>
      </c>
      <c r="D12" s="6" t="s">
        <v>99</v>
      </c>
      <c r="E12" s="6" t="s">
        <v>78</v>
      </c>
      <c r="F12" s="6" t="s">
        <v>79</v>
      </c>
    </row>
    <row r="13" customFormat="false" ht="23.85" hidden="false" customHeight="false" outlineLevel="0" collapsed="false">
      <c r="A13" s="7" t="n">
        <v>11</v>
      </c>
      <c r="B13" s="8" t="s">
        <v>38</v>
      </c>
      <c r="C13" s="8" t="s">
        <v>100</v>
      </c>
      <c r="D13" s="8" t="s">
        <v>101</v>
      </c>
      <c r="E13" s="8" t="s">
        <v>39</v>
      </c>
      <c r="F13" s="8" t="s">
        <v>79</v>
      </c>
    </row>
    <row r="14" customFormat="false" ht="23.85" hidden="false" customHeight="false" outlineLevel="0" collapsed="false">
      <c r="A14" s="9" t="n">
        <v>12</v>
      </c>
      <c r="B14" s="6" t="s">
        <v>38</v>
      </c>
      <c r="C14" s="6" t="s">
        <v>102</v>
      </c>
      <c r="D14" s="6" t="s">
        <v>103</v>
      </c>
      <c r="E14" s="6" t="s">
        <v>78</v>
      </c>
      <c r="F14" s="6" t="s">
        <v>79</v>
      </c>
    </row>
    <row r="15" customFormat="false" ht="15" hidden="false" customHeight="false" outlineLevel="0" collapsed="false">
      <c r="A15" s="7" t="n">
        <v>13</v>
      </c>
      <c r="B15" s="8" t="s">
        <v>38</v>
      </c>
      <c r="C15" s="8" t="s">
        <v>104</v>
      </c>
      <c r="D15" s="8" t="s">
        <v>105</v>
      </c>
      <c r="E15" s="8" t="s">
        <v>85</v>
      </c>
      <c r="F15" s="8" t="s">
        <v>79</v>
      </c>
    </row>
    <row r="16" customFormat="false" ht="15" hidden="false" customHeight="false" outlineLevel="0" collapsed="false">
      <c r="A16" s="9" t="n">
        <v>14</v>
      </c>
      <c r="B16" s="6" t="s">
        <v>38</v>
      </c>
      <c r="C16" s="6" t="s">
        <v>106</v>
      </c>
      <c r="D16" s="6" t="s">
        <v>107</v>
      </c>
      <c r="E16" s="6" t="s">
        <v>39</v>
      </c>
      <c r="F16" s="6" t="s">
        <v>79</v>
      </c>
    </row>
    <row r="17" customFormat="false" ht="23.85" hidden="false" customHeight="false" outlineLevel="0" collapsed="false">
      <c r="A17" s="7" t="n">
        <v>15</v>
      </c>
      <c r="B17" s="8" t="s">
        <v>38</v>
      </c>
      <c r="C17" s="8" t="s">
        <v>108</v>
      </c>
      <c r="D17" s="8" t="s">
        <v>109</v>
      </c>
      <c r="E17" s="8" t="s">
        <v>91</v>
      </c>
      <c r="F17" s="8" t="s">
        <v>79</v>
      </c>
    </row>
    <row r="18" customFormat="false" ht="23.85" hidden="false" customHeight="false" outlineLevel="0" collapsed="false">
      <c r="A18" s="9" t="n">
        <v>16</v>
      </c>
      <c r="B18" s="6" t="s">
        <v>38</v>
      </c>
      <c r="C18" s="6" t="s">
        <v>110</v>
      </c>
      <c r="D18" s="6" t="s">
        <v>111</v>
      </c>
      <c r="E18" s="6" t="s">
        <v>39</v>
      </c>
      <c r="F18" s="6" t="s">
        <v>79</v>
      </c>
    </row>
    <row r="19" customFormat="false" ht="23.85" hidden="false" customHeight="false" outlineLevel="0" collapsed="false">
      <c r="A19" s="7" t="n">
        <v>17</v>
      </c>
      <c r="B19" s="8" t="s">
        <v>112</v>
      </c>
      <c r="C19" s="8" t="s">
        <v>113</v>
      </c>
      <c r="D19" s="8" t="s">
        <v>114</v>
      </c>
      <c r="E19" s="8" t="s">
        <v>91</v>
      </c>
      <c r="F19" s="8" t="s">
        <v>79</v>
      </c>
    </row>
    <row r="20" customFormat="false" ht="23.85" hidden="false" customHeight="false" outlineLevel="0" collapsed="false">
      <c r="A20" s="9" t="n">
        <v>18</v>
      </c>
      <c r="B20" s="6" t="s">
        <v>112</v>
      </c>
      <c r="C20" s="6" t="s">
        <v>115</v>
      </c>
      <c r="D20" s="6" t="s">
        <v>116</v>
      </c>
      <c r="E20" s="6" t="s">
        <v>39</v>
      </c>
      <c r="F20" s="6" t="s">
        <v>79</v>
      </c>
    </row>
    <row r="21" customFormat="false" ht="15" hidden="false" customHeight="false" outlineLevel="0" collapsed="false">
      <c r="A21" s="7" t="n">
        <v>19</v>
      </c>
      <c r="B21" s="8" t="s">
        <v>112</v>
      </c>
      <c r="C21" s="8" t="s">
        <v>117</v>
      </c>
      <c r="D21" s="8" t="s">
        <v>118</v>
      </c>
      <c r="E21" s="8" t="s">
        <v>78</v>
      </c>
      <c r="F21" s="8" t="s">
        <v>79</v>
      </c>
    </row>
    <row r="22" customFormat="false" ht="15" hidden="false" customHeight="false" outlineLevel="0" collapsed="false">
      <c r="A22" s="9" t="n">
        <v>20</v>
      </c>
      <c r="B22" s="6" t="s">
        <v>112</v>
      </c>
      <c r="C22" s="6" t="s">
        <v>98</v>
      </c>
      <c r="D22" s="6" t="s">
        <v>119</v>
      </c>
      <c r="E22" s="6" t="s">
        <v>78</v>
      </c>
      <c r="F22" s="6" t="s">
        <v>79</v>
      </c>
    </row>
    <row r="23" customFormat="false" ht="15" hidden="false" customHeight="false" outlineLevel="0" collapsed="false">
      <c r="A23" s="7" t="n">
        <v>21</v>
      </c>
      <c r="B23" s="8" t="s">
        <v>112</v>
      </c>
      <c r="C23" s="8" t="s">
        <v>120</v>
      </c>
      <c r="D23" s="8" t="s">
        <v>121</v>
      </c>
      <c r="E23" s="8" t="s">
        <v>122</v>
      </c>
      <c r="F23" s="8" t="s">
        <v>79</v>
      </c>
    </row>
    <row r="24" customFormat="false" ht="23.85" hidden="false" customHeight="false" outlineLevel="0" collapsed="false">
      <c r="A24" s="9" t="n">
        <v>22</v>
      </c>
      <c r="B24" s="6" t="s">
        <v>123</v>
      </c>
      <c r="C24" s="6" t="s">
        <v>124</v>
      </c>
      <c r="D24" s="6" t="s">
        <v>125</v>
      </c>
      <c r="E24" s="6" t="s">
        <v>39</v>
      </c>
      <c r="F24" s="6" t="s">
        <v>79</v>
      </c>
    </row>
    <row r="25" customFormat="false" ht="23.85" hidden="false" customHeight="false" outlineLevel="0" collapsed="false">
      <c r="A25" s="7" t="n">
        <v>23</v>
      </c>
      <c r="B25" s="8" t="s">
        <v>123</v>
      </c>
      <c r="C25" s="8" t="s">
        <v>126</v>
      </c>
      <c r="D25" s="8" t="s">
        <v>127</v>
      </c>
      <c r="E25" s="8" t="s">
        <v>91</v>
      </c>
      <c r="F25" s="8" t="s">
        <v>79</v>
      </c>
    </row>
    <row r="26" customFormat="false" ht="23.85" hidden="false" customHeight="false" outlineLevel="0" collapsed="false">
      <c r="A26" s="9" t="n">
        <v>24</v>
      </c>
      <c r="B26" s="6" t="s">
        <v>123</v>
      </c>
      <c r="C26" s="6" t="s">
        <v>128</v>
      </c>
      <c r="D26" s="6" t="s">
        <v>129</v>
      </c>
      <c r="E26" s="6" t="s">
        <v>85</v>
      </c>
      <c r="F26" s="6" t="s">
        <v>79</v>
      </c>
    </row>
    <row r="27" customFormat="false" ht="23.85" hidden="false" customHeight="false" outlineLevel="0" collapsed="false">
      <c r="A27" s="7" t="n">
        <v>25</v>
      </c>
      <c r="B27" s="8" t="s">
        <v>123</v>
      </c>
      <c r="C27" s="8" t="s">
        <v>130</v>
      </c>
      <c r="D27" s="8" t="s">
        <v>131</v>
      </c>
      <c r="E27" s="8" t="s">
        <v>78</v>
      </c>
      <c r="F27" s="8" t="s">
        <v>79</v>
      </c>
    </row>
    <row r="28" customFormat="false" ht="23.85" hidden="false" customHeight="false" outlineLevel="0" collapsed="false">
      <c r="A28" s="9" t="n">
        <v>26</v>
      </c>
      <c r="B28" s="6" t="s">
        <v>132</v>
      </c>
      <c r="C28" s="6" t="s">
        <v>133</v>
      </c>
      <c r="D28" s="6" t="s">
        <v>134</v>
      </c>
      <c r="E28" s="6" t="s">
        <v>39</v>
      </c>
      <c r="F28" s="6" t="s">
        <v>79</v>
      </c>
    </row>
    <row r="29" customFormat="false" ht="23.85" hidden="false" customHeight="false" outlineLevel="0" collapsed="false">
      <c r="A29" s="7" t="n">
        <v>27</v>
      </c>
      <c r="B29" s="8" t="s">
        <v>132</v>
      </c>
      <c r="C29" s="8" t="s">
        <v>135</v>
      </c>
      <c r="D29" s="8" t="s">
        <v>136</v>
      </c>
      <c r="E29" s="8" t="s">
        <v>78</v>
      </c>
      <c r="F29" s="8" t="s">
        <v>79</v>
      </c>
    </row>
    <row r="30" customFormat="false" ht="23.85" hidden="false" customHeight="false" outlineLevel="0" collapsed="false">
      <c r="A30" s="9" t="n">
        <v>28</v>
      </c>
      <c r="B30" s="6" t="s">
        <v>132</v>
      </c>
      <c r="C30" s="6" t="s">
        <v>137</v>
      </c>
      <c r="D30" s="6" t="s">
        <v>138</v>
      </c>
      <c r="E30" s="6" t="s">
        <v>91</v>
      </c>
      <c r="F30" s="6" t="s">
        <v>79</v>
      </c>
    </row>
    <row r="31" customFormat="false" ht="23.85" hidden="false" customHeight="false" outlineLevel="0" collapsed="false">
      <c r="A31" s="7" t="n">
        <v>29</v>
      </c>
      <c r="B31" s="8" t="s">
        <v>132</v>
      </c>
      <c r="C31" s="8" t="s">
        <v>139</v>
      </c>
      <c r="D31" s="8" t="s">
        <v>140</v>
      </c>
      <c r="E31" s="8" t="s">
        <v>122</v>
      </c>
      <c r="F31" s="8" t="s">
        <v>79</v>
      </c>
    </row>
    <row r="32" customFormat="false" ht="23.85" hidden="false" customHeight="false" outlineLevel="0" collapsed="false">
      <c r="A32" s="9" t="n">
        <v>30</v>
      </c>
      <c r="B32" s="6" t="s">
        <v>132</v>
      </c>
      <c r="C32" s="6" t="s">
        <v>141</v>
      </c>
      <c r="D32" s="6" t="s">
        <v>142</v>
      </c>
      <c r="E32" s="6" t="s">
        <v>39</v>
      </c>
      <c r="F32" s="6" t="s">
        <v>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143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4" t="s">
        <v>144</v>
      </c>
      <c r="B2" s="4" t="s">
        <v>145</v>
      </c>
      <c r="C2" s="4" t="s">
        <v>26</v>
      </c>
      <c r="D2" s="4" t="s">
        <v>146</v>
      </c>
      <c r="E2" s="4" t="s">
        <v>147</v>
      </c>
      <c r="F2" s="4" t="s">
        <v>148</v>
      </c>
      <c r="G2" s="4" t="s">
        <v>149</v>
      </c>
    </row>
    <row r="3" customFormat="false" ht="15" hidden="false" customHeight="false" outlineLevel="0" collapsed="false">
      <c r="A3" s="5" t="s">
        <v>150</v>
      </c>
      <c r="B3" s="5" t="s">
        <v>151</v>
      </c>
      <c r="C3" s="5" t="s">
        <v>38</v>
      </c>
      <c r="D3" s="5" t="n">
        <v>100</v>
      </c>
      <c r="E3" s="5" t="n">
        <v>92</v>
      </c>
      <c r="F3" s="10" t="n">
        <f aca="false">IFERROR(E3/D3,"")</f>
        <v>0.92</v>
      </c>
      <c r="G3" s="9" t="str">
        <f aca="false">IF(F3="","",IF(F3&gt;=0.85,"SCALE",IF(F3&gt;=0.6,"TINH CHỈNH","KILL")))</f>
        <v>SCALE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10" t="str">
        <f aca="false">IFERROR(E4/D4,"")</f>
        <v/>
      </c>
      <c r="G4" s="9" t="str">
        <f aca="false">IF(F4="","",IF(F4&gt;=0.85,"SCALE",IF(F4&gt;=0.6,"TINH CHỈNH","KILL")))</f>
        <v/>
      </c>
    </row>
    <row r="5" customFormat="false" ht="15" hidden="false" customHeight="false" outlineLevel="0" collapsed="false">
      <c r="A5" s="6"/>
      <c r="B5" s="6"/>
      <c r="C5" s="6"/>
      <c r="D5" s="6"/>
      <c r="E5" s="6"/>
      <c r="F5" s="10" t="str">
        <f aca="false">IFERROR(E5/D5,"")</f>
        <v/>
      </c>
      <c r="G5" s="9" t="str">
        <f aca="false">IF(F5="","",IF(F5&gt;=0.85,"SCALE",IF(F5&gt;=0.6,"TINH CHỈNH","KILL")))</f>
        <v/>
      </c>
    </row>
    <row r="6" customFormat="false" ht="15" hidden="false" customHeight="false" outlineLevel="0" collapsed="false">
      <c r="A6" s="6"/>
      <c r="B6" s="6"/>
      <c r="C6" s="6"/>
      <c r="D6" s="6"/>
      <c r="E6" s="6"/>
      <c r="F6" s="10" t="str">
        <f aca="false">IFERROR(E6/D6,"")</f>
        <v/>
      </c>
      <c r="G6" s="9" t="str">
        <f aca="false">IF(F6="","",IF(F6&gt;=0.85,"SCALE",IF(F6&gt;=0.6,"TINH CHỈNH","KILL")))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10" t="str">
        <f aca="false">IFERROR(E7/D7,"")</f>
        <v/>
      </c>
      <c r="G7" s="9" t="str">
        <f aca="false">IF(F7="","",IF(F7&gt;=0.85,"SCALE",IF(F7&gt;=0.6,"TINH CHỈNH","KILL")))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10" t="str">
        <f aca="false">IFERROR(E8/D8,"")</f>
        <v/>
      </c>
      <c r="G8" s="9" t="str">
        <f aca="false">IF(F8="","",IF(F8&gt;=0.85,"SCALE",IF(F8&gt;=0.6,"TINH CHỈNH","KILL")))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10" t="str">
        <f aca="false">IFERROR(E9/D9,"")</f>
        <v/>
      </c>
      <c r="G9" s="9" t="str">
        <f aca="false">IF(F9="","",IF(F9&gt;=0.85,"SCALE",IF(F9&gt;=0.6,"TINH CHỈNH","KILL")))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10" t="str">
        <f aca="false">IFERROR(E10/D10,"")</f>
        <v/>
      </c>
      <c r="G10" s="9" t="str">
        <f aca="false">IF(F10="","",IF(F10&gt;=0.85,"SCALE",IF(F10&gt;=0.6,"TINH CHỈNH","KILL")))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10" t="str">
        <f aca="false">IFERROR(E11/D11,"")</f>
        <v/>
      </c>
      <c r="G11" s="9" t="str">
        <f aca="false">IF(F11="","",IF(F11&gt;=0.85,"SCALE",IF(F11&gt;=0.6,"TINH CHỈNH","KILL")))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10" t="str">
        <f aca="false">IFERROR(E12/D12,"")</f>
        <v/>
      </c>
      <c r="G12" s="9" t="str">
        <f aca="false">IF(F12="","",IF(F12&gt;=0.85,"SCALE",IF(F12&gt;=0.6,"TINH CHỈNH","KILL")))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10" t="str">
        <f aca="false">IFERROR(E13/D13,"")</f>
        <v/>
      </c>
      <c r="G13" s="9" t="str">
        <f aca="false">IF(F13="","",IF(F13&gt;=0.85,"SCALE",IF(F13&gt;=0.6,"TINH CHỈNH","KILL")))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10" t="str">
        <f aca="false">IFERROR(E14/D14,"")</f>
        <v/>
      </c>
      <c r="G14" s="9" t="str">
        <f aca="false">IF(F14="","",IF(F14&gt;=0.85,"SCALE",IF(F14&gt;=0.6,"TINH CHỈNH","KILL")))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10" t="str">
        <f aca="false">IFERROR(E15/D15,"")</f>
        <v/>
      </c>
      <c r="G15" s="9" t="str">
        <f aca="false">IF(F15="","",IF(F15&gt;=0.85,"SCALE",IF(F15&gt;=0.6,"TINH CHỈNH","KILL")))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10" t="str">
        <f aca="false">IFERROR(E16/D16,"")</f>
        <v/>
      </c>
      <c r="G16" s="9" t="str">
        <f aca="false">IF(F16="","",IF(F16&gt;=0.85,"SCALE",IF(F16&gt;=0.6,"TINH CHỈNH","KILL")))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10" t="str">
        <f aca="false">IFERROR(E17/D17,"")</f>
        <v/>
      </c>
      <c r="G17" s="9" t="str">
        <f aca="false">IF(F17="","",IF(F17&gt;=0.85,"SCALE",IF(F17&gt;=0.6,"TINH CHỈNH","KILL")))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10" t="str">
        <f aca="false">IFERROR(E18/D18,"")</f>
        <v/>
      </c>
      <c r="G18" s="9" t="str">
        <f aca="false">IF(F18="","",IF(F18&gt;=0.85,"SCALE",IF(F18&gt;=0.6,"TINH CHỈNH","KILL")))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10" t="str">
        <f aca="false">IFERROR(E19/D19,"")</f>
        <v/>
      </c>
      <c r="G19" s="9" t="str">
        <f aca="false">IF(F19="","",IF(F19&gt;=0.85,"SCALE",IF(F19&gt;=0.6,"TINH CHỈNH","KILL")))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10" t="str">
        <f aca="false">IFERROR(E20/D20,"")</f>
        <v/>
      </c>
      <c r="G20" s="9" t="str">
        <f aca="false">IF(F20="","",IF(F20&gt;=0.85,"SCALE",IF(F20&gt;=0.6,"TINH CHỈNH","KILL")))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10" t="str">
        <f aca="false">IFERROR(E21/D21,"")</f>
        <v/>
      </c>
      <c r="G21" s="9" t="str">
        <f aca="false">IF(F21="","",IF(F21&gt;=0.85,"SCALE",IF(F21&gt;=0.6,"TINH CHỈNH","KILL")))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10" t="str">
        <f aca="false">IFERROR(E22/D22,"")</f>
        <v/>
      </c>
      <c r="G22" s="9" t="str">
        <f aca="false">IF(F22="","",IF(F22&gt;=0.85,"SCALE",IF(F22&gt;=0.6,"TINH CHỈNH","KILL")))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10" t="str">
        <f aca="false">IFERROR(E23/D23,"")</f>
        <v/>
      </c>
      <c r="G23" s="9" t="str">
        <f aca="false">IF(F23="","",IF(F23&gt;=0.85,"SCALE",IF(F23&gt;=0.6,"TINH CHỈNH","KILL")))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10" t="str">
        <f aca="false">IFERROR(E24/D24,"")</f>
        <v/>
      </c>
      <c r="G24" s="9" t="str">
        <f aca="false">IF(F24="","",IF(F24&gt;=0.85,"SCALE",IF(F24&gt;=0.6,"TINH CHỈNH","KILL")))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10" t="str">
        <f aca="false">IFERROR(E25/D25,"")</f>
        <v/>
      </c>
      <c r="G25" s="9" t="str">
        <f aca="false">IF(F25="","",IF(F25&gt;=0.85,"SCALE",IF(F25&gt;=0.6,"TINH CHỈNH","KILL")))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10" t="str">
        <f aca="false">IFERROR(E26/D26,"")</f>
        <v/>
      </c>
      <c r="G26" s="9" t="str">
        <f aca="false">IF(F26="","",IF(F26&gt;=0.85,"SCALE",IF(F26&gt;=0.6,"TINH CHỈNH","KILL")))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10" t="str">
        <f aca="false">IFERROR(E27/D27,"")</f>
        <v/>
      </c>
      <c r="G27" s="9" t="str">
        <f aca="false">IF(F27="","",IF(F27&gt;=0.85,"SCALE",IF(F27&gt;=0.6,"TINH CHỈNH","KILL")))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10" t="str">
        <f aca="false">IFERROR(E28/D28,"")</f>
        <v/>
      </c>
      <c r="G28" s="9" t="str">
        <f aca="false">IF(F28="","",IF(F28&gt;=0.85,"SCALE",IF(F28&gt;=0.6,"TINH CHỈNH","KILL")))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10" t="str">
        <f aca="false">IFERROR(E29/D29,"")</f>
        <v/>
      </c>
      <c r="G29" s="9" t="str">
        <f aca="false">IF(F29="","",IF(F29&gt;=0.85,"SCALE",IF(F29&gt;=0.6,"TINH CHỈNH","KILL")))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10" t="str">
        <f aca="false">IFERROR(E30/D30,"")</f>
        <v/>
      </c>
      <c r="G30" s="9" t="str">
        <f aca="false">IF(F30="","",IF(F30&gt;=0.85,"SCALE",IF(F30&gt;=0.6,"TINH CHỈNH","KILL")))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10" t="str">
        <f aca="false">IFERROR(E31/D31,"")</f>
        <v/>
      </c>
      <c r="G31" s="9" t="str">
        <f aca="false">IF(F31="","",IF(F31&gt;=0.85,"SCALE",IF(F31&gt;=0.6,"TINH CHỈNH","KILL")))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10" t="str">
        <f aca="false">IFERROR(E32/D32,"")</f>
        <v/>
      </c>
      <c r="G32" s="9" t="str">
        <f aca="false">IF(F32="","",IF(F32&gt;=0.85,"SCALE",IF(F32&gt;=0.6,"TINH CHỈNH","KILL")))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10" t="str">
        <f aca="false">IFERROR(E33/D33,"")</f>
        <v/>
      </c>
      <c r="G33" s="9" t="str">
        <f aca="false">IF(F33="","",IF(F33&gt;=0.85,"SCALE",IF(F33&gt;=0.6,"TINH CHỈNH","KILL")))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10" t="str">
        <f aca="false">IFERROR(E34/D34,"")</f>
        <v/>
      </c>
      <c r="G34" s="9" t="str">
        <f aca="false">IF(F34="","",IF(F34&gt;=0.85,"SCALE",IF(F34&gt;=0.6,"TINH CHỈNH","KILL")))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10" t="str">
        <f aca="false">IFERROR(E35/D35,"")</f>
        <v/>
      </c>
      <c r="G35" s="9" t="str">
        <f aca="false">IF(F35="","",IF(F35&gt;=0.85,"SCALE",IF(F35&gt;=0.6,"TINH CHỈNH","KILL")))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10" t="str">
        <f aca="false">IFERROR(E36/D36,"")</f>
        <v/>
      </c>
      <c r="G36" s="9" t="str">
        <f aca="false">IF(F36="","",IF(F36&gt;=0.85,"SCALE",IF(F36&gt;=0.6,"TINH CHỈNH","KILL")))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10" t="str">
        <f aca="false">IFERROR(E37/D37,"")</f>
        <v/>
      </c>
      <c r="G37" s="9" t="str">
        <f aca="false">IF(F37="","",IF(F37&gt;=0.85,"SCALE",IF(F37&gt;=0.6,"TINH CHỈNH","KILL")))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10" t="str">
        <f aca="false">IFERROR(E38/D38,"")</f>
        <v/>
      </c>
      <c r="G38" s="9" t="str">
        <f aca="false">IF(F38="","",IF(F38&gt;=0.85,"SCALE",IF(F38&gt;=0.6,"TINH CHỈNH","KILL")))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10" t="str">
        <f aca="false">IFERROR(E39/D39,"")</f>
        <v/>
      </c>
      <c r="G39" s="9" t="str">
        <f aca="false">IF(F39="","",IF(F39&gt;=0.85,"SCALE",IF(F39&gt;=0.6,"TINH CHỈNH","KILL")))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10" t="str">
        <f aca="false">IFERROR(E40/D40,"")</f>
        <v/>
      </c>
      <c r="G40" s="9" t="str">
        <f aca="false">IF(F40="","",IF(F40&gt;=0.85,"SCALE",IF(F40&gt;=0.6,"TINH CHỈNH","KILL")))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10" t="str">
        <f aca="false">IFERROR(E41/D41,"")</f>
        <v/>
      </c>
      <c r="G41" s="9" t="str">
        <f aca="false">IF(F41="","",IF(F41&gt;=0.85,"SCALE",IF(F41&gt;=0.6,"TINH CHỈNH","KILL")))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10" t="str">
        <f aca="false">IFERROR(E42/D42,"")</f>
        <v/>
      </c>
      <c r="G42" s="9" t="str">
        <f aca="false">IF(F42="","",IF(F42&gt;=0.85,"SCALE",IF(F42&gt;=0.6,"TINH CHỈNH","KILL")))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2026-10-06T10:53:02Z</dcterms:created>
  <dc:creator>openpyxl</dc:creator>
  <dc:description/>
  <dc:language>en-US</dc:language>
  <cp:lastModifiedBy/>
  <dcterms:modified xsi:type="dcterms:W3CDTF">2026-10-06T10:53:02Z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